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HLCV" sheetId="2" state="visible" r:id="rId2"/>
    <sheet xmlns:r="http://schemas.openxmlformats.org/officeDocument/2006/relationships" name="Fundamental_Ownership" sheetId="3" state="visible" r:id="rId3"/>
    <sheet xmlns:r="http://schemas.openxmlformats.org/officeDocument/2006/relationships" name="Ranking_Config" sheetId="4" state="visible" r:id="rId4"/>
    <sheet xmlns:r="http://schemas.openxmlformats.org/officeDocument/2006/relationships" name="Technical_Filter_Config" sheetId="5" state="visible" r:id="rId5"/>
    <sheet xmlns:r="http://schemas.openxmlformats.org/officeDocument/2006/relationships" name="Fundamental_Filter_Config" sheetId="6" state="visible" r:id="rId6"/>
    <sheet xmlns:r="http://schemas.openxmlformats.org/officeDocument/2006/relationships" name="Sector_Ranking_Config" sheetId="7" state="visible" r:id="rId7"/>
    <sheet xmlns:r="http://schemas.openxmlformats.org/officeDocument/2006/relationships" name="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9" customWidth="1" min="1" max="1"/>
    <col width="57" customWidth="1" min="2" max="2"/>
  </cols>
  <sheetData>
    <row r="1">
      <c r="A1" s="1" t="inlineStr">
        <is>
          <t>Symbol</t>
        </is>
      </c>
      <c r="B1" t="inlineStr">
        <is>
          <t>RELIANCE</t>
        </is>
      </c>
    </row>
    <row r="2">
      <c r="A2" t="inlineStr">
        <is>
          <t>Exchange</t>
        </is>
      </c>
      <c r="B2" t="inlineStr">
        <is>
          <t>NSE</t>
        </is>
      </c>
    </row>
    <row r="3">
      <c r="A3" t="inlineStr">
        <is>
          <t>Company</t>
        </is>
      </c>
      <c r="B3" t="inlineStr">
        <is>
          <t>Reliance Industries Limited</t>
        </is>
      </c>
    </row>
    <row r="4">
      <c r="A4" t="inlineStr">
        <is>
          <t>ISIN</t>
        </is>
      </c>
      <c r="B4" t="inlineStr">
        <is>
          <t>INE002A01018</t>
        </is>
      </c>
    </row>
    <row r="5">
      <c r="A5" t="inlineStr">
        <is>
          <t>Sector</t>
        </is>
      </c>
      <c r="B5" t="inlineStr">
        <is>
          <t>Energy</t>
        </is>
      </c>
    </row>
    <row r="6">
      <c r="A6" t="inlineStr">
        <is>
          <t>Industry</t>
        </is>
      </c>
      <c r="B6" t="inlineStr">
        <is>
          <t>Oil &amp; Gas Refining &amp; Marketing</t>
        </is>
      </c>
    </row>
    <row r="7">
      <c r="A7" t="inlineStr">
        <is>
          <t>Generated At</t>
        </is>
      </c>
      <c r="B7" t="inlineStr">
        <is>
          <t>2026-10-16T11:37:31.742026Z</t>
        </is>
      </c>
    </row>
    <row r="8">
      <c r="A8" t="inlineStr">
        <is>
          <t>Price Data Source</t>
        </is>
      </c>
      <c r="B8" t="inlineStr">
        <is>
          <t>Live daily provider history; score snapshot is separate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2026-09-18</t>
        </is>
      </c>
      <c r="B2" t="n">
        <v>1245</v>
      </c>
      <c r="C2" t="n">
        <v>1247.300048828125</v>
      </c>
      <c r="D2" t="n">
        <v>1226.400024414062</v>
      </c>
      <c r="E2" t="n">
        <v>1226.400024414062</v>
      </c>
      <c r="F2" t="n">
        <v>15122715</v>
      </c>
    </row>
    <row r="3">
      <c r="A3" t="inlineStr">
        <is>
          <t>2026-09-21</t>
        </is>
      </c>
      <c r="B3" t="n">
        <v>1234.099975585938</v>
      </c>
      <c r="C3" t="n">
        <v>1249.099975585938</v>
      </c>
      <c r="D3" t="n">
        <v>1232.5</v>
      </c>
      <c r="E3" t="n">
        <v>1247.400024414062</v>
      </c>
      <c r="F3" t="n">
        <v>10007218</v>
      </c>
    </row>
    <row r="4">
      <c r="A4" t="inlineStr">
        <is>
          <t>2026-09-22</t>
        </is>
      </c>
      <c r="B4" t="n">
        <v>1247.599975585938</v>
      </c>
      <c r="C4" t="n">
        <v>1251.900024414062</v>
      </c>
      <c r="D4" t="n">
        <v>1237.400024414062</v>
      </c>
      <c r="E4" t="n">
        <v>1240.400024414062</v>
      </c>
      <c r="F4" t="n">
        <v>10684376</v>
      </c>
    </row>
    <row r="5">
      <c r="A5" t="inlineStr">
        <is>
          <t>2026-09-23</t>
        </is>
      </c>
      <c r="B5" t="n">
        <v>1242</v>
      </c>
      <c r="C5" t="n">
        <v>1252.800048828125</v>
      </c>
      <c r="D5" t="n">
        <v>1238.900024414062</v>
      </c>
      <c r="E5" t="n">
        <v>1248</v>
      </c>
      <c r="F5" t="n">
        <v>8352048</v>
      </c>
    </row>
    <row r="6">
      <c r="A6" t="inlineStr">
        <is>
          <t>2026-09-24</t>
        </is>
      </c>
      <c r="B6" t="n">
        <v>1236.599975585938</v>
      </c>
      <c r="C6" t="n">
        <v>1241.599975585938</v>
      </c>
      <c r="D6" t="n">
        <v>1219.199951171875</v>
      </c>
      <c r="E6" t="n">
        <v>1219.199951171875</v>
      </c>
      <c r="F6" t="n">
        <v>13923795</v>
      </c>
    </row>
    <row r="7">
      <c r="A7" t="inlineStr">
        <is>
          <t>2026-09-25</t>
        </is>
      </c>
      <c r="B7" t="n">
        <v>1210.5</v>
      </c>
      <c r="C7" t="n">
        <v>1227.400024414062</v>
      </c>
      <c r="D7" t="n">
        <v>1210.5</v>
      </c>
      <c r="E7" t="n">
        <v>1226</v>
      </c>
      <c r="F7" t="n">
        <v>13138735</v>
      </c>
    </row>
    <row r="8">
      <c r="A8" t="inlineStr">
        <is>
          <t>2026-09-28</t>
        </is>
      </c>
      <c r="B8" t="n">
        <v>1218</v>
      </c>
      <c r="C8" t="n">
        <v>1219.699951171875</v>
      </c>
      <c r="D8" t="n">
        <v>1197</v>
      </c>
      <c r="E8" t="n">
        <v>1197.599975585938</v>
      </c>
      <c r="F8" t="n">
        <v>13602349</v>
      </c>
    </row>
    <row r="9">
      <c r="A9" t="inlineStr">
        <is>
          <t>2026-09-29</t>
        </is>
      </c>
      <c r="B9" t="n">
        <v>1193.800048828125</v>
      </c>
      <c r="C9" t="n">
        <v>1198.300048828125</v>
      </c>
      <c r="D9" t="n">
        <v>1181.800048828125</v>
      </c>
      <c r="E9" t="n">
        <v>1182</v>
      </c>
      <c r="F9" t="n">
        <v>24191416</v>
      </c>
    </row>
    <row r="10">
      <c r="A10" t="inlineStr">
        <is>
          <t>2026-09-30</t>
        </is>
      </c>
      <c r="B10" t="n">
        <v>1182</v>
      </c>
      <c r="C10" t="n">
        <v>1196.5</v>
      </c>
      <c r="D10" t="n">
        <v>1181.699951171875</v>
      </c>
      <c r="E10" t="n">
        <v>1187</v>
      </c>
      <c r="F10" t="n">
        <v>16376789</v>
      </c>
    </row>
    <row r="11">
      <c r="A11" t="inlineStr">
        <is>
          <t>2026-10-01</t>
        </is>
      </c>
      <c r="B11" t="n">
        <v>1180.099975585938</v>
      </c>
      <c r="C11" t="n">
        <v>1183.900024414062</v>
      </c>
      <c r="D11" t="n">
        <v>1160.800048828125</v>
      </c>
      <c r="E11" t="n">
        <v>1167.699951171875</v>
      </c>
      <c r="F11" t="n">
        <v>16771221</v>
      </c>
    </row>
    <row r="12">
      <c r="A12" t="inlineStr">
        <is>
          <t>2026-10-05</t>
        </is>
      </c>
      <c r="B12" t="n">
        <v>1171.199951171875</v>
      </c>
      <c r="C12" t="n">
        <v>1193</v>
      </c>
      <c r="D12" t="n">
        <v>1171.199951171875</v>
      </c>
      <c r="E12" t="n">
        <v>1186.400024414062</v>
      </c>
      <c r="F12" t="n">
        <v>14254907</v>
      </c>
    </row>
    <row r="13">
      <c r="A13" t="inlineStr">
        <is>
          <t>2026-10-06</t>
        </is>
      </c>
      <c r="B13" t="n">
        <v>1188.099975585938</v>
      </c>
      <c r="C13" t="n">
        <v>1219.099975585938</v>
      </c>
      <c r="D13" t="n">
        <v>1188.099975585938</v>
      </c>
      <c r="E13" t="n">
        <v>1218</v>
      </c>
      <c r="F13" t="n">
        <v>18003127</v>
      </c>
    </row>
    <row r="14">
      <c r="A14" t="inlineStr">
        <is>
          <t>2026-10-07</t>
        </is>
      </c>
      <c r="B14" t="n">
        <v>1212</v>
      </c>
      <c r="C14" t="n">
        <v>1220.800048828125</v>
      </c>
      <c r="D14" t="n">
        <v>1203.5</v>
      </c>
      <c r="E14" t="n">
        <v>1207.699951171875</v>
      </c>
      <c r="F14" t="n">
        <v>11880731</v>
      </c>
    </row>
    <row r="15">
      <c r="A15" t="inlineStr">
        <is>
          <t>2026-10-08</t>
        </is>
      </c>
      <c r="B15" t="n">
        <v>1207.699951171875</v>
      </c>
      <c r="C15" t="n">
        <v>1208</v>
      </c>
      <c r="D15" t="n">
        <v>1173</v>
      </c>
      <c r="E15" t="n">
        <v>1178</v>
      </c>
      <c r="F15" t="n">
        <v>13965493</v>
      </c>
    </row>
    <row r="16">
      <c r="A16" t="inlineStr">
        <is>
          <t>2026-10-09</t>
        </is>
      </c>
      <c r="B16" t="n">
        <v>1179</v>
      </c>
      <c r="C16" t="n">
        <v>1179</v>
      </c>
      <c r="D16" t="n">
        <v>1160.199951171875</v>
      </c>
      <c r="E16" t="n">
        <v>1170.300048828125</v>
      </c>
      <c r="F16" t="n">
        <v>12086708</v>
      </c>
    </row>
    <row r="17">
      <c r="A17" t="inlineStr">
        <is>
          <t>2026-10-12</t>
        </is>
      </c>
      <c r="B17" t="n">
        <v>1180.300048828125</v>
      </c>
      <c r="C17" t="n">
        <v>1185.5</v>
      </c>
      <c r="D17" t="n">
        <v>1153.199951171875</v>
      </c>
      <c r="E17" t="n">
        <v>1158.900024414062</v>
      </c>
      <c r="F17" t="n">
        <v>11338332</v>
      </c>
    </row>
    <row r="18">
      <c r="A18" t="inlineStr">
        <is>
          <t>2026-10-13</t>
        </is>
      </c>
      <c r="B18" t="n">
        <v>1158.900024414062</v>
      </c>
      <c r="C18" t="n">
        <v>1168.300048828125</v>
      </c>
      <c r="D18" t="n">
        <v>1152.199951171875</v>
      </c>
      <c r="E18" t="n">
        <v>1166.699951171875</v>
      </c>
      <c r="F18" t="n">
        <v>10988483</v>
      </c>
    </row>
    <row r="19">
      <c r="A19" t="inlineStr">
        <is>
          <t>2026-10-14</t>
        </is>
      </c>
      <c r="B19" t="n">
        <v>1167</v>
      </c>
      <c r="C19" t="n">
        <v>1188</v>
      </c>
      <c r="D19" t="n">
        <v>1162.699951171875</v>
      </c>
      <c r="E19" t="n">
        <v>1174.599975585938</v>
      </c>
      <c r="F19" t="n">
        <v>10938195</v>
      </c>
    </row>
    <row r="20">
      <c r="A20" t="inlineStr">
        <is>
          <t>2026-10-15</t>
        </is>
      </c>
      <c r="B20" t="n">
        <v>1185.199951171875</v>
      </c>
      <c r="C20" t="n">
        <v>1218.800048828125</v>
      </c>
      <c r="D20" t="n">
        <v>1177.199951171875</v>
      </c>
      <c r="E20" t="n">
        <v>1215</v>
      </c>
      <c r="F20" t="n">
        <v>23456219</v>
      </c>
    </row>
    <row r="21">
      <c r="A21" t="inlineStr">
        <is>
          <t>2026-10-16</t>
        </is>
      </c>
      <c r="B21" t="n">
        <v>1215</v>
      </c>
      <c r="C21" t="n">
        <v>1215.400024414062</v>
      </c>
      <c r="D21" t="n">
        <v>1193</v>
      </c>
      <c r="E21" t="n">
        <v>1211.199951171875</v>
      </c>
      <c r="F21" t="n">
        <v>17221171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fundamental.market_cap</t>
        </is>
      </c>
      <c r="B2" t="n">
        <v>15941252415488</v>
      </c>
    </row>
    <row r="3">
      <c r="A3" t="inlineStr">
        <is>
          <t>fundamental.trailing_eps</t>
        </is>
      </c>
      <c r="B3" t="n">
        <v>55.22</v>
      </c>
    </row>
    <row r="4">
      <c r="A4" t="inlineStr">
        <is>
          <t>fundamental.forward_eps</t>
        </is>
      </c>
      <c r="B4" t="n">
        <v>71.0682</v>
      </c>
    </row>
    <row r="5">
      <c r="A5" t="inlineStr">
        <is>
          <t>fundamental.revenue</t>
        </is>
      </c>
      <c r="B5" t="n">
        <v>11296050249728</v>
      </c>
    </row>
    <row r="6">
      <c r="A6" t="inlineStr">
        <is>
          <t>fundamental.net_income</t>
        </is>
      </c>
      <c r="B6" t="n">
        <v>747269980160</v>
      </c>
    </row>
    <row r="7">
      <c r="A7" t="inlineStr">
        <is>
          <t>fundamental.profit_margin</t>
        </is>
      </c>
      <c r="B7" t="n">
        <v>0.066149995</v>
      </c>
    </row>
    <row r="8">
      <c r="A8" t="inlineStr">
        <is>
          <t>fundamental.return_on_equity</t>
        </is>
      </c>
      <c r="B8" t="n">
        <v>0.08929999999999999</v>
      </c>
    </row>
    <row r="9">
      <c r="A9" t="inlineStr">
        <is>
          <t>fundamental.return_on_assets</t>
        </is>
      </c>
      <c r="B9" t="n">
        <v>0.0371</v>
      </c>
    </row>
    <row r="10">
      <c r="A10" t="inlineStr">
        <is>
          <t>ownership.insider_percent</t>
        </is>
      </c>
      <c r="B10" t="n">
        <v>0.51798</v>
      </c>
    </row>
    <row r="11">
      <c r="A11" t="inlineStr">
        <is>
          <t>ownership.institution_percent</t>
        </is>
      </c>
      <c r="B11" t="n">
        <v>0.2805</v>
      </c>
    </row>
    <row r="12">
      <c r="A12" t="inlineStr">
        <is>
          <t>ownership.shares_outstanding</t>
        </is>
      </c>
      <c r="B12" t="n">
        <v>13532472634</v>
      </c>
    </row>
    <row r="13">
      <c r="A13" t="inlineStr">
        <is>
          <t>ownership.float_shares</t>
        </is>
      </c>
      <c r="B13" t="n">
        <v>6638219126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fundamental</t>
        </is>
      </c>
      <c r="C2" t="n">
        <v>30</v>
      </c>
      <c r="D2">
        <f>IF(ISNUMBER(B2),B2*C2/100,0)</f>
        <v/>
      </c>
    </row>
    <row r="3">
      <c r="A3" t="inlineStr">
        <is>
          <t>technical</t>
        </is>
      </c>
      <c r="C3" t="n">
        <v>25</v>
      </c>
      <c r="D3">
        <f>IF(ISNUMBER(B3),B3*C3/100,0)</f>
        <v/>
      </c>
    </row>
    <row r="4">
      <c r="A4" t="inlineStr">
        <is>
          <t>relative_strength</t>
        </is>
      </c>
      <c r="C4" t="n">
        <v>25</v>
      </c>
      <c r="D4">
        <f>IF(ISNUMBER(B4),B4*C4/100,0)</f>
        <v/>
      </c>
    </row>
    <row r="5">
      <c r="A5" t="inlineStr">
        <is>
          <t>ownership</t>
        </is>
      </c>
      <c r="C5" t="n">
        <v>15</v>
      </c>
      <c r="D5">
        <f>IF(ISNUMBER(B5),B5*C5/100,0)</f>
        <v/>
      </c>
    </row>
    <row r="6">
      <c r="A6" t="inlineStr">
        <is>
          <t>sector</t>
        </is>
      </c>
      <c r="C6" t="n">
        <v>5</v>
      </c>
      <c r="D6">
        <f>IF(ISNUMBER(B6),B6*C6/100,0)</f>
        <v/>
      </c>
    </row>
    <row r="7"/>
    <row r="8">
      <c r="A8" t="inlineStr">
        <is>
          <t>Composite Score</t>
        </is>
      </c>
      <c r="B8">
        <f>IF(COUNT(B2:B6)=0,"",SUM(D2:D6)/SUM(C2:C6)*100)</f>
        <v/>
      </c>
    </row>
    <row r="9"/>
    <row r="10">
      <c r="A10" t="inlineStr">
        <is>
          <t>Client formula</t>
        </is>
      </c>
      <c r="B10" t="inlineStr">
        <is>
          <t>Fundamental*0.30 + Technical*0.25 + RS*0.25 + Ownership*0.15 + Sector*0.05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8" customWidth="1" min="1" max="1"/>
    <col width="60" customWidth="1" min="2" max="2"/>
    <col width="16" customWidth="1" min="3" max="3"/>
    <col width="12" customWidth="1" min="4" max="4"/>
    <col width="12" customWidth="1" min="5" max="5"/>
    <col width="22" customWidth="1" min="6" max="6"/>
    <col width="45" customWidth="1" min="7" max="7"/>
  </cols>
  <sheetData>
    <row r="1">
      <c r="A1" s="1" t="inlineStr">
        <is>
          <t>Filter Name</t>
        </is>
      </c>
      <c r="B1" s="1" t="inlineStr">
        <is>
          <t>Compare</t>
        </is>
      </c>
      <c r="C1" s="1" t="inlineStr">
        <is>
          <t>Value / Target</t>
        </is>
      </c>
      <c r="D1" s="1" t="inlineStr">
        <is>
          <t>Weight</t>
        </is>
      </c>
      <c r="E1" s="1" t="inlineStr">
        <is>
          <t>Enabled</t>
        </is>
      </c>
      <c r="F1" s="1" t="inlineStr">
        <is>
          <t>Filter Score (0-100)</t>
        </is>
      </c>
      <c r="G1" s="1" t="inlineStr">
        <is>
          <t>Weighted Points</t>
        </is>
      </c>
    </row>
    <row r="2">
      <c r="A2" t="inlineStr">
        <is>
          <t>Upper BB - Lower BB</t>
        </is>
      </c>
      <c r="B2" t="inlineStr">
        <is>
          <t>&lt;=</t>
        </is>
      </c>
      <c r="C2" t="n">
        <v>10</v>
      </c>
      <c r="D2" t="n">
        <v>10</v>
      </c>
      <c r="E2" t="inlineStr">
        <is>
          <t>Yes</t>
        </is>
      </c>
      <c r="G2">
        <f>IF(AND(E2="Yes",ISNUMBER(F2)),F2*D2,0)</f>
        <v/>
      </c>
    </row>
    <row r="3">
      <c r="A3" t="inlineStr">
        <is>
          <t>5-day ATR% average vs 20-day ATR% average</t>
        </is>
      </c>
      <c r="B3" t="inlineStr">
        <is>
          <t>&lt;</t>
        </is>
      </c>
      <c r="C3" t="inlineStr">
        <is>
          <t>20-day ATR%</t>
        </is>
      </c>
      <c r="D3" t="n">
        <v>10</v>
      </c>
      <c r="E3" t="inlineStr">
        <is>
          <t>Yes</t>
        </is>
      </c>
      <c r="G3">
        <f>IF(AND(E3="Yes",ISNUMBER(F3)),F3*D3,0)</f>
        <v/>
      </c>
    </row>
    <row r="4">
      <c r="A4" t="inlineStr">
        <is>
          <t>10-day ATR% average vs 20-day ATR% average</t>
        </is>
      </c>
      <c r="B4" t="inlineStr">
        <is>
          <t>&lt;</t>
        </is>
      </c>
      <c r="C4" t="inlineStr">
        <is>
          <t>20-day ATR%</t>
        </is>
      </c>
      <c r="D4" t="n">
        <v>5</v>
      </c>
      <c r="E4" t="inlineStr">
        <is>
          <t>Yes</t>
        </is>
      </c>
      <c r="G4">
        <f>IF(AND(E4="Yes",ISNUMBER(F4)),F4*D4,0)</f>
        <v/>
      </c>
    </row>
    <row r="5">
      <c r="A5" t="inlineStr">
        <is>
          <t>RSI (14)</t>
        </is>
      </c>
      <c r="B5" t="inlineStr">
        <is>
          <t>bands</t>
        </is>
      </c>
      <c r="C5" t="inlineStr">
        <is>
          <t>30 / 40 / 50</t>
        </is>
      </c>
      <c r="D5" t="n">
        <v>5</v>
      </c>
      <c r="E5" t="inlineStr">
        <is>
          <t>Yes</t>
        </is>
      </c>
      <c r="G5">
        <f>IF(AND(E5="Yes",ISNUMBER(F5)),F5*D5,0)</f>
        <v/>
      </c>
    </row>
    <row r="6">
      <c r="A6" t="inlineStr">
        <is>
          <t>10-day volume average vs 20-day volume average</t>
        </is>
      </c>
      <c r="B6" t="inlineStr">
        <is>
          <t>&lt;</t>
        </is>
      </c>
      <c r="C6" t="inlineStr">
        <is>
          <t>20-day volume</t>
        </is>
      </c>
      <c r="D6" t="n">
        <v>10</v>
      </c>
      <c r="E6" t="inlineStr">
        <is>
          <t>Yes</t>
        </is>
      </c>
      <c r="G6">
        <f>IF(AND(E6="Yes",ISNUMBER(F6)),F6*D6,0)</f>
        <v/>
      </c>
    </row>
    <row r="7">
      <c r="A7" t="inlineStr">
        <is>
          <t>20-day volume average vs 40-day volume average</t>
        </is>
      </c>
      <c r="B7" t="inlineStr">
        <is>
          <t>&lt;</t>
        </is>
      </c>
      <c r="C7" t="inlineStr">
        <is>
          <t>40-day volume</t>
        </is>
      </c>
      <c r="D7" t="n">
        <v>5</v>
      </c>
      <c r="E7" t="inlineStr">
        <is>
          <t>Yes</t>
        </is>
      </c>
      <c r="G7">
        <f>IF(AND(E7="Yes",ISNUMBER(F7)),F7*D7,0)</f>
        <v/>
      </c>
    </row>
    <row r="8">
      <c r="A8" t="inlineStr">
        <is>
          <t>Distance from 52-week high</t>
        </is>
      </c>
      <c r="B8" t="inlineStr">
        <is>
          <t>bands</t>
        </is>
      </c>
      <c r="C8" t="inlineStr">
        <is>
          <t>10 / 17 / 20%</t>
        </is>
      </c>
      <c r="D8" t="n">
        <v>10</v>
      </c>
      <c r="E8" t="inlineStr">
        <is>
          <t>Yes</t>
        </is>
      </c>
      <c r="G8">
        <f>IF(AND(E8="Yes",ISNUMBER(F8)),F8*D8,0)</f>
        <v/>
      </c>
    </row>
    <row r="9">
      <c r="A9" t="inlineStr">
        <is>
          <t>20 EMA vs 50 EMA</t>
        </is>
      </c>
      <c r="B9" t="inlineStr">
        <is>
          <t>&gt;</t>
        </is>
      </c>
      <c r="C9" t="inlineStr">
        <is>
          <t>50 EMA</t>
        </is>
      </c>
      <c r="D9" t="n">
        <v>8</v>
      </c>
      <c r="E9" t="inlineStr">
        <is>
          <t>Yes</t>
        </is>
      </c>
      <c r="G9">
        <f>IF(AND(E9="Yes",ISNUMBER(F9)),F9*D9,0)</f>
        <v/>
      </c>
    </row>
    <row r="10">
      <c r="A10" t="inlineStr">
        <is>
          <t>50 EMA vs 150 EMA</t>
        </is>
      </c>
      <c r="B10" t="inlineStr">
        <is>
          <t>&gt;</t>
        </is>
      </c>
      <c r="C10" t="inlineStr">
        <is>
          <t>150 EMA</t>
        </is>
      </c>
      <c r="D10" t="n">
        <v>4</v>
      </c>
      <c r="E10" t="inlineStr">
        <is>
          <t>Yes</t>
        </is>
      </c>
      <c r="G10">
        <f>IF(AND(E10="Yes",ISNUMBER(F10)),F10*D10,0)</f>
        <v/>
      </c>
    </row>
    <row r="11"/>
    <row r="12">
      <c r="A12" t="inlineStr">
        <is>
          <t>Technical Filter Score</t>
        </is>
      </c>
      <c r="B12">
        <f>IFERROR(SUM(G2:G10)/SUMPRODUCT((E2:E10="Yes")*D2:D10),"")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48" customWidth="1" min="4" max="4"/>
    <col width="12" customWidth="1" min="5" max="5"/>
    <col width="12" customWidth="1" min="6" max="6"/>
    <col width="22" customWidth="1" min="7" max="7"/>
    <col width="45" customWidth="1" min="8" max="8"/>
  </cols>
  <sheetData>
    <row r="1">
      <c r="A1" s="1" t="inlineStr">
        <is>
          <t>Group</t>
        </is>
      </c>
      <c r="B1" s="1" t="inlineStr">
        <is>
          <t>Filter Name</t>
        </is>
      </c>
      <c r="C1" s="1" t="inlineStr">
        <is>
          <t>Compare</t>
        </is>
      </c>
      <c r="D1" s="1" t="inlineStr">
        <is>
          <t>Value / Target</t>
        </is>
      </c>
      <c r="E1" s="1" t="inlineStr">
        <is>
          <t>Weight</t>
        </is>
      </c>
      <c r="F1" s="1" t="inlineStr">
        <is>
          <t>Enabled</t>
        </is>
      </c>
      <c r="G1" s="1" t="inlineStr">
        <is>
          <t>Filter Score (0-100)</t>
        </is>
      </c>
      <c r="H1" s="1" t="inlineStr">
        <is>
          <t>Weighted Points</t>
        </is>
      </c>
    </row>
    <row r="2">
      <c r="A2" t="inlineStr">
        <is>
          <t>EPS</t>
        </is>
      </c>
      <c r="B2" t="inlineStr">
        <is>
          <t>Latest quarter EPS growth (YoY)</t>
        </is>
      </c>
      <c r="C2" t="inlineStr">
        <is>
          <t>&gt;</t>
        </is>
      </c>
      <c r="D2" t="n">
        <v>20</v>
      </c>
      <c r="E2" t="n">
        <v>10</v>
      </c>
      <c r="F2" t="inlineStr">
        <is>
          <t>Yes</t>
        </is>
      </c>
      <c r="H2">
        <f>IF(AND(F2="Yes",ISNUMBER(G2)),G2*E2,0)</f>
        <v/>
      </c>
    </row>
    <row r="3">
      <c r="A3" t="inlineStr">
        <is>
          <t>EPS</t>
        </is>
      </c>
      <c r="B3" t="inlineStr">
        <is>
          <t>Latest Q EPS YoY - prior Q EPS YoY</t>
        </is>
      </c>
      <c r="C3" t="inlineStr">
        <is>
          <t>&gt;</t>
        </is>
      </c>
      <c r="D3" t="n">
        <v>20</v>
      </c>
      <c r="E3" t="n">
        <v>10</v>
      </c>
      <c r="F3" t="inlineStr">
        <is>
          <t>Yes</t>
        </is>
      </c>
      <c r="H3">
        <f>IF(AND(F3="Yes",ISNUMBER(G3)),G3*E3,0)</f>
        <v/>
      </c>
    </row>
    <row r="4">
      <c r="A4" t="inlineStr">
        <is>
          <t>EPS</t>
        </is>
      </c>
      <c r="B4" t="inlineStr">
        <is>
          <t>Prior Q EPS YoY - second-prior Q EPS YoY</t>
        </is>
      </c>
      <c r="C4" t="inlineStr">
        <is>
          <t>&gt;</t>
        </is>
      </c>
      <c r="D4" t="n">
        <v>20</v>
      </c>
      <c r="E4" t="n">
        <v>10</v>
      </c>
      <c r="F4" t="inlineStr">
        <is>
          <t>Yes</t>
        </is>
      </c>
      <c r="H4">
        <f>IF(AND(F4="Yes",ISNUMBER(G4)),G4*E4,0)</f>
        <v/>
      </c>
    </row>
    <row r="5">
      <c r="A5" t="inlineStr">
        <is>
          <t>EPS</t>
        </is>
      </c>
      <c r="B5" t="inlineStr">
        <is>
          <t>Latest Q EPS YoY - prior-two YoY average</t>
        </is>
      </c>
      <c r="C5" t="inlineStr">
        <is>
          <t>&gt;</t>
        </is>
      </c>
      <c r="D5" t="n">
        <v>20</v>
      </c>
      <c r="E5" t="n">
        <v>10</v>
      </c>
      <c r="F5" t="inlineStr">
        <is>
          <t>Yes</t>
        </is>
      </c>
      <c r="H5">
        <f>IF(AND(F5="Yes",ISNUMBER(G5)),G5*E5,0)</f>
        <v/>
      </c>
    </row>
    <row r="6">
      <c r="A6" t="inlineStr">
        <is>
          <t>EPS</t>
        </is>
      </c>
      <c r="B6" t="inlineStr">
        <is>
          <t>Latest quarter EPS growth (QoQ)</t>
        </is>
      </c>
      <c r="C6" t="inlineStr">
        <is>
          <t>&gt;</t>
        </is>
      </c>
      <c r="D6" t="n">
        <v>20</v>
      </c>
      <c r="E6" t="n">
        <v>10</v>
      </c>
      <c r="F6" t="inlineStr">
        <is>
          <t>Yes</t>
        </is>
      </c>
      <c r="H6">
        <f>IF(AND(F6="Yes",ISNUMBER(G6)),G6*E6,0)</f>
        <v/>
      </c>
    </row>
    <row r="7">
      <c r="A7" t="inlineStr">
        <is>
          <t>EPS</t>
        </is>
      </c>
      <c r="B7" t="inlineStr">
        <is>
          <t>Prior-quarter EPS growth (QoQ)</t>
        </is>
      </c>
      <c r="C7" t="inlineStr">
        <is>
          <t>&gt;</t>
        </is>
      </c>
      <c r="D7" t="n">
        <v>20</v>
      </c>
      <c r="E7" t="n">
        <v>10</v>
      </c>
      <c r="F7" t="inlineStr">
        <is>
          <t>Yes</t>
        </is>
      </c>
      <c r="H7">
        <f>IF(AND(F7="Yes",ISNUMBER(G7)),G7*E7,0)</f>
        <v/>
      </c>
    </row>
    <row r="8">
      <c r="A8" t="inlineStr">
        <is>
          <t>EPS</t>
        </is>
      </c>
      <c r="B8" t="inlineStr">
        <is>
          <t>Second-prior-quarter EPS growth (QoQ)</t>
        </is>
      </c>
      <c r="C8" t="inlineStr">
        <is>
          <t>&gt;</t>
        </is>
      </c>
      <c r="D8" t="n">
        <v>20</v>
      </c>
      <c r="E8" t="n">
        <v>10</v>
      </c>
      <c r="F8" t="inlineStr">
        <is>
          <t>Yes</t>
        </is>
      </c>
      <c r="H8">
        <f>IF(AND(F8="Yes",ISNUMBER(G8)),G8*E8,0)</f>
        <v/>
      </c>
    </row>
    <row r="9">
      <c r="A9" t="inlineStr">
        <is>
          <t>EPS</t>
        </is>
      </c>
      <c r="B9" t="inlineStr">
        <is>
          <t>Latest Q EPS QoQ - prior-two QoQ average</t>
        </is>
      </c>
      <c r="C9" t="inlineStr">
        <is>
          <t>&gt;</t>
        </is>
      </c>
      <c r="D9" t="n">
        <v>20</v>
      </c>
      <c r="E9" t="n">
        <v>5</v>
      </c>
      <c r="F9" t="inlineStr">
        <is>
          <t>Yes</t>
        </is>
      </c>
      <c r="H9">
        <f>IF(AND(F9="Yes",ISNUMBER(G9)),G9*E9,0)</f>
        <v/>
      </c>
    </row>
    <row r="10">
      <c r="A10" t="inlineStr">
        <is>
          <t>EPS</t>
        </is>
      </c>
      <c r="B10" t="inlineStr">
        <is>
          <t>Latest annual EPS growth (YoY)</t>
        </is>
      </c>
      <c r="C10" t="inlineStr">
        <is>
          <t>&gt;</t>
        </is>
      </c>
      <c r="D10" t="n">
        <v>20</v>
      </c>
      <c r="E10" t="n">
        <v>10</v>
      </c>
      <c r="F10" t="inlineStr">
        <is>
          <t>Yes</t>
        </is>
      </c>
      <c r="H10">
        <f>IF(AND(F10="Yes",ISNUMBER(G10)),G10*E10,0)</f>
        <v/>
      </c>
    </row>
    <row r="11">
      <c r="A11" t="inlineStr">
        <is>
          <t>EPS</t>
        </is>
      </c>
      <c r="B11" t="inlineStr">
        <is>
          <t>Latest annual EPS YoY - prior annual EPS YoY</t>
        </is>
      </c>
      <c r="C11" t="inlineStr">
        <is>
          <t>&gt;</t>
        </is>
      </c>
      <c r="D11" t="n">
        <v>20</v>
      </c>
      <c r="E11" t="n">
        <v>5</v>
      </c>
      <c r="F11" t="inlineStr">
        <is>
          <t>Yes</t>
        </is>
      </c>
      <c r="H11">
        <f>IF(AND(F11="Yes",ISNUMBER(G11)),G11*E11,0)</f>
        <v/>
      </c>
    </row>
    <row r="12">
      <c r="A12" t="inlineStr">
        <is>
          <t>EPS</t>
        </is>
      </c>
      <c r="B12" t="inlineStr">
        <is>
          <t>Latest annual EPS YoY - prior-two annual YoY average</t>
        </is>
      </c>
      <c r="C12" t="inlineStr">
        <is>
          <t>&gt;</t>
        </is>
      </c>
      <c r="D12" t="n">
        <v>20</v>
      </c>
      <c r="E12" t="n">
        <v>10</v>
      </c>
      <c r="F12" t="inlineStr">
        <is>
          <t>Yes</t>
        </is>
      </c>
      <c r="H12">
        <f>IF(AND(F12="Yes",ISNUMBER(G12)),G12*E12,0)</f>
        <v/>
      </c>
    </row>
    <row r="13">
      <c r="A13" t="inlineStr">
        <is>
          <t>PAT</t>
        </is>
      </c>
      <c r="B13" t="inlineStr">
        <is>
          <t>Latest quarter PAT growth (YoY)</t>
        </is>
      </c>
      <c r="C13" t="inlineStr">
        <is>
          <t>&gt;</t>
        </is>
      </c>
      <c r="D13" t="n">
        <v>20</v>
      </c>
      <c r="E13" t="n">
        <v>10</v>
      </c>
      <c r="F13" t="inlineStr">
        <is>
          <t>Yes</t>
        </is>
      </c>
      <c r="H13">
        <f>IF(AND(F13="Yes",ISNUMBER(G13)),G13*E13,0)</f>
        <v/>
      </c>
    </row>
    <row r="14">
      <c r="A14" t="inlineStr">
        <is>
          <t>PAT</t>
        </is>
      </c>
      <c r="B14" t="inlineStr">
        <is>
          <t>Latest Q PAT YoY - prior Q PAT YoY</t>
        </is>
      </c>
      <c r="C14" t="inlineStr">
        <is>
          <t>&gt;</t>
        </is>
      </c>
      <c r="D14" t="n">
        <v>20</v>
      </c>
      <c r="E14" t="n">
        <v>10</v>
      </c>
      <c r="F14" t="inlineStr">
        <is>
          <t>Yes</t>
        </is>
      </c>
      <c r="H14">
        <f>IF(AND(F14="Yes",ISNUMBER(G14)),G14*E14,0)</f>
        <v/>
      </c>
    </row>
    <row r="15">
      <c r="A15" t="inlineStr">
        <is>
          <t>PAT</t>
        </is>
      </c>
      <c r="B15" t="inlineStr">
        <is>
          <t>Prior Q PAT YoY - second-prior Q PAT YoY</t>
        </is>
      </c>
      <c r="C15" t="inlineStr">
        <is>
          <t>&gt;</t>
        </is>
      </c>
      <c r="D15" t="n">
        <v>20</v>
      </c>
      <c r="E15" t="n">
        <v>10</v>
      </c>
      <c r="F15" t="inlineStr">
        <is>
          <t>Yes</t>
        </is>
      </c>
      <c r="H15">
        <f>IF(AND(F15="Yes",ISNUMBER(G15)),G15*E15,0)</f>
        <v/>
      </c>
    </row>
    <row r="16">
      <c r="A16" t="inlineStr">
        <is>
          <t>PAT</t>
        </is>
      </c>
      <c r="B16" t="inlineStr">
        <is>
          <t>Latest Q PAT YoY - prior-two YoY average</t>
        </is>
      </c>
      <c r="C16" t="inlineStr">
        <is>
          <t>&gt;</t>
        </is>
      </c>
      <c r="D16" t="n">
        <v>20</v>
      </c>
      <c r="E16" t="n">
        <v>10</v>
      </c>
      <c r="F16" t="inlineStr">
        <is>
          <t>Yes</t>
        </is>
      </c>
      <c r="H16">
        <f>IF(AND(F16="Yes",ISNUMBER(G16)),G16*E16,0)</f>
        <v/>
      </c>
    </row>
    <row r="17">
      <c r="A17" t="inlineStr">
        <is>
          <t>PAT</t>
        </is>
      </c>
      <c r="B17" t="inlineStr">
        <is>
          <t>Latest quarter PAT growth (QoQ)</t>
        </is>
      </c>
      <c r="C17" t="inlineStr">
        <is>
          <t>&gt;</t>
        </is>
      </c>
      <c r="D17" t="n">
        <v>20</v>
      </c>
      <c r="E17" t="n">
        <v>10</v>
      </c>
      <c r="F17" t="inlineStr">
        <is>
          <t>Yes</t>
        </is>
      </c>
      <c r="H17">
        <f>IF(AND(F17="Yes",ISNUMBER(G17)),G17*E17,0)</f>
        <v/>
      </c>
    </row>
    <row r="18">
      <c r="A18" t="inlineStr">
        <is>
          <t>PAT</t>
        </is>
      </c>
      <c r="B18" t="inlineStr">
        <is>
          <t>Prior-quarter PAT growth (QoQ)</t>
        </is>
      </c>
      <c r="C18" t="inlineStr">
        <is>
          <t>&gt;</t>
        </is>
      </c>
      <c r="D18" t="n">
        <v>20</v>
      </c>
      <c r="E18" t="n">
        <v>10</v>
      </c>
      <c r="F18" t="inlineStr">
        <is>
          <t>Yes</t>
        </is>
      </c>
      <c r="H18">
        <f>IF(AND(F18="Yes",ISNUMBER(G18)),G18*E18,0)</f>
        <v/>
      </c>
    </row>
    <row r="19">
      <c r="A19" t="inlineStr">
        <is>
          <t>PAT</t>
        </is>
      </c>
      <c r="B19" t="inlineStr">
        <is>
          <t>Second-prior-quarter PAT growth (QoQ)</t>
        </is>
      </c>
      <c r="C19" t="inlineStr">
        <is>
          <t>&gt;</t>
        </is>
      </c>
      <c r="D19" t="n">
        <v>20</v>
      </c>
      <c r="E19" t="n">
        <v>10</v>
      </c>
      <c r="F19" t="inlineStr">
        <is>
          <t>Yes</t>
        </is>
      </c>
      <c r="H19">
        <f>IF(AND(F19="Yes",ISNUMBER(G19)),G19*E19,0)</f>
        <v/>
      </c>
    </row>
    <row r="20">
      <c r="A20" t="inlineStr">
        <is>
          <t>PAT</t>
        </is>
      </c>
      <c r="B20" t="inlineStr">
        <is>
          <t>Latest Q PAT QoQ - prior-two QoQ average</t>
        </is>
      </c>
      <c r="C20" t="inlineStr">
        <is>
          <t>&gt;</t>
        </is>
      </c>
      <c r="D20" t="n">
        <v>20</v>
      </c>
      <c r="E20" t="n">
        <v>5</v>
      </c>
      <c r="F20" t="inlineStr">
        <is>
          <t>Yes</t>
        </is>
      </c>
      <c r="H20">
        <f>IF(AND(F20="Yes",ISNUMBER(G20)),G20*E20,0)</f>
        <v/>
      </c>
    </row>
    <row r="21">
      <c r="A21" t="inlineStr">
        <is>
          <t>PAT</t>
        </is>
      </c>
      <c r="B21" t="inlineStr">
        <is>
          <t>Latest annual PAT growth (YoY)</t>
        </is>
      </c>
      <c r="C21" t="inlineStr">
        <is>
          <t>&gt;</t>
        </is>
      </c>
      <c r="D21" t="n">
        <v>20</v>
      </c>
      <c r="E21" t="n">
        <v>10</v>
      </c>
      <c r="F21" t="inlineStr">
        <is>
          <t>Yes</t>
        </is>
      </c>
      <c r="H21">
        <f>IF(AND(F21="Yes",ISNUMBER(G21)),G21*E21,0)</f>
        <v/>
      </c>
    </row>
    <row r="22">
      <c r="A22" t="inlineStr">
        <is>
          <t>PAT</t>
        </is>
      </c>
      <c r="B22" t="inlineStr">
        <is>
          <t>Latest annual PAT YoY - prior annual PAT YoY</t>
        </is>
      </c>
      <c r="C22" t="inlineStr">
        <is>
          <t>&gt;</t>
        </is>
      </c>
      <c r="D22" t="n">
        <v>20</v>
      </c>
      <c r="E22" t="n">
        <v>5</v>
      </c>
      <c r="F22" t="inlineStr">
        <is>
          <t>Yes</t>
        </is>
      </c>
      <c r="H22">
        <f>IF(AND(F22="Yes",ISNUMBER(G22)),G22*E22,0)</f>
        <v/>
      </c>
    </row>
    <row r="23">
      <c r="A23" t="inlineStr">
        <is>
          <t>PAT</t>
        </is>
      </c>
      <c r="B23" t="inlineStr">
        <is>
          <t>Latest annual PAT YoY - prior-two annual YoY average</t>
        </is>
      </c>
      <c r="C23" t="inlineStr">
        <is>
          <t>&gt;</t>
        </is>
      </c>
      <c r="D23" t="n">
        <v>20</v>
      </c>
      <c r="E23" t="n">
        <v>10</v>
      </c>
      <c r="F23" t="inlineStr">
        <is>
          <t>Yes</t>
        </is>
      </c>
      <c r="H23">
        <f>IF(AND(F23="Yes",ISNUMBER(G23)),G23*E23,0)</f>
        <v/>
      </c>
    </row>
    <row r="24">
      <c r="A24" t="inlineStr">
        <is>
          <t>Sales</t>
        </is>
      </c>
      <c r="B24" t="inlineStr">
        <is>
          <t>Latest quarter Sales growth (YoY)</t>
        </is>
      </c>
      <c r="C24" t="inlineStr">
        <is>
          <t>&gt;</t>
        </is>
      </c>
      <c r="D24" t="n">
        <v>20</v>
      </c>
      <c r="E24" t="n">
        <v>10</v>
      </c>
      <c r="F24" t="inlineStr">
        <is>
          <t>Yes</t>
        </is>
      </c>
      <c r="H24">
        <f>IF(AND(F24="Yes",ISNUMBER(G24)),G24*E24,0)</f>
        <v/>
      </c>
    </row>
    <row r="25">
      <c r="A25" t="inlineStr">
        <is>
          <t>Sales</t>
        </is>
      </c>
      <c r="B25" t="inlineStr">
        <is>
          <t>Latest Q Sales YoY - prior Q Sales YoY</t>
        </is>
      </c>
      <c r="C25" t="inlineStr">
        <is>
          <t>&gt;</t>
        </is>
      </c>
      <c r="D25" t="n">
        <v>20</v>
      </c>
      <c r="E25" t="n">
        <v>10</v>
      </c>
      <c r="F25" t="inlineStr">
        <is>
          <t>Yes</t>
        </is>
      </c>
      <c r="H25">
        <f>IF(AND(F25="Yes",ISNUMBER(G25)),G25*E25,0)</f>
        <v/>
      </c>
    </row>
    <row r="26">
      <c r="A26" t="inlineStr">
        <is>
          <t>Sales</t>
        </is>
      </c>
      <c r="B26" t="inlineStr">
        <is>
          <t>Prior Q Sales YoY - second-prior Q Sales YoY</t>
        </is>
      </c>
      <c r="C26" t="inlineStr">
        <is>
          <t>&gt;</t>
        </is>
      </c>
      <c r="D26" t="n">
        <v>20</v>
      </c>
      <c r="E26" t="n">
        <v>10</v>
      </c>
      <c r="F26" t="inlineStr">
        <is>
          <t>Yes</t>
        </is>
      </c>
      <c r="H26">
        <f>IF(AND(F26="Yes",ISNUMBER(G26)),G26*E26,0)</f>
        <v/>
      </c>
    </row>
    <row r="27">
      <c r="A27" t="inlineStr">
        <is>
          <t>Sales</t>
        </is>
      </c>
      <c r="B27" t="inlineStr">
        <is>
          <t>Latest Q Sales YoY - prior-two YoY average</t>
        </is>
      </c>
      <c r="C27" t="inlineStr">
        <is>
          <t>&gt;</t>
        </is>
      </c>
      <c r="D27" t="n">
        <v>20</v>
      </c>
      <c r="E27" t="n">
        <v>10</v>
      </c>
      <c r="F27" t="inlineStr">
        <is>
          <t>Yes</t>
        </is>
      </c>
      <c r="H27">
        <f>IF(AND(F27="Yes",ISNUMBER(G27)),G27*E27,0)</f>
        <v/>
      </c>
    </row>
    <row r="28">
      <c r="A28" t="inlineStr">
        <is>
          <t>Sales</t>
        </is>
      </c>
      <c r="B28" t="inlineStr">
        <is>
          <t>Latest quarter Sales growth (QoQ)</t>
        </is>
      </c>
      <c r="C28" t="inlineStr">
        <is>
          <t>&gt;</t>
        </is>
      </c>
      <c r="D28" t="n">
        <v>20</v>
      </c>
      <c r="E28" t="n">
        <v>10</v>
      </c>
      <c r="F28" t="inlineStr">
        <is>
          <t>Yes</t>
        </is>
      </c>
      <c r="H28">
        <f>IF(AND(F28="Yes",ISNUMBER(G28)),G28*E28,0)</f>
        <v/>
      </c>
    </row>
    <row r="29">
      <c r="A29" t="inlineStr">
        <is>
          <t>Sales</t>
        </is>
      </c>
      <c r="B29" t="inlineStr">
        <is>
          <t>Prior-quarter Sales growth (QoQ)</t>
        </is>
      </c>
      <c r="C29" t="inlineStr">
        <is>
          <t>&gt;</t>
        </is>
      </c>
      <c r="D29" t="n">
        <v>20</v>
      </c>
      <c r="E29" t="n">
        <v>10</v>
      </c>
      <c r="F29" t="inlineStr">
        <is>
          <t>Yes</t>
        </is>
      </c>
      <c r="H29">
        <f>IF(AND(F29="Yes",ISNUMBER(G29)),G29*E29,0)</f>
        <v/>
      </c>
    </row>
    <row r="30">
      <c r="A30" t="inlineStr">
        <is>
          <t>Sales</t>
        </is>
      </c>
      <c r="B30" t="inlineStr">
        <is>
          <t>Second-prior-quarter Sales growth (QoQ)</t>
        </is>
      </c>
      <c r="C30" t="inlineStr">
        <is>
          <t>&gt;</t>
        </is>
      </c>
      <c r="D30" t="n">
        <v>20</v>
      </c>
      <c r="E30" t="n">
        <v>10</v>
      </c>
      <c r="F30" t="inlineStr">
        <is>
          <t>Yes</t>
        </is>
      </c>
      <c r="H30">
        <f>IF(AND(F30="Yes",ISNUMBER(G30)),G30*E30,0)</f>
        <v/>
      </c>
    </row>
    <row r="31">
      <c r="A31" t="inlineStr">
        <is>
          <t>Sales</t>
        </is>
      </c>
      <c r="B31" t="inlineStr">
        <is>
          <t>Latest Q Sales QoQ - prior-two QoQ average</t>
        </is>
      </c>
      <c r="C31" t="inlineStr">
        <is>
          <t>&gt;</t>
        </is>
      </c>
      <c r="D31" t="n">
        <v>20</v>
      </c>
      <c r="E31" t="n">
        <v>5</v>
      </c>
      <c r="F31" t="inlineStr">
        <is>
          <t>Yes</t>
        </is>
      </c>
      <c r="H31">
        <f>IF(AND(F31="Yes",ISNUMBER(G31)),G31*E31,0)</f>
        <v/>
      </c>
    </row>
    <row r="32">
      <c r="A32" t="inlineStr">
        <is>
          <t>Sales</t>
        </is>
      </c>
      <c r="B32" t="inlineStr">
        <is>
          <t>Latest annual Sales growth (YoY)</t>
        </is>
      </c>
      <c r="C32" t="inlineStr">
        <is>
          <t>&gt;</t>
        </is>
      </c>
      <c r="D32" t="n">
        <v>20</v>
      </c>
      <c r="E32" t="n">
        <v>10</v>
      </c>
      <c r="F32" t="inlineStr">
        <is>
          <t>Yes</t>
        </is>
      </c>
      <c r="H32">
        <f>IF(AND(F32="Yes",ISNUMBER(G32)),G32*E32,0)</f>
        <v/>
      </c>
    </row>
    <row r="33">
      <c r="A33" t="inlineStr">
        <is>
          <t>Sales</t>
        </is>
      </c>
      <c r="B33" t="inlineStr">
        <is>
          <t>Latest annual Sales YoY - prior annual Sales YoY</t>
        </is>
      </c>
      <c r="C33" t="inlineStr">
        <is>
          <t>&gt;</t>
        </is>
      </c>
      <c r="D33" t="n">
        <v>20</v>
      </c>
      <c r="E33" t="n">
        <v>5</v>
      </c>
      <c r="F33" t="inlineStr">
        <is>
          <t>Yes</t>
        </is>
      </c>
      <c r="H33">
        <f>IF(AND(F33="Yes",ISNUMBER(G33)),G33*E33,0)</f>
        <v/>
      </c>
    </row>
    <row r="34">
      <c r="A34" t="inlineStr">
        <is>
          <t>Sales</t>
        </is>
      </c>
      <c r="B34" t="inlineStr">
        <is>
          <t>Latest annual Sales YoY - prior-two annual YoY average</t>
        </is>
      </c>
      <c r="C34" t="inlineStr">
        <is>
          <t>&gt;</t>
        </is>
      </c>
      <c r="D34" t="n">
        <v>20</v>
      </c>
      <c r="E34" t="n">
        <v>10</v>
      </c>
      <c r="F34" t="inlineStr">
        <is>
          <t>Yes</t>
        </is>
      </c>
      <c r="H34">
        <f>IF(AND(F34="Yes",ISNUMBER(G34)),G34*E34,0)</f>
        <v/>
      </c>
    </row>
    <row r="35">
      <c r="A35" t="inlineStr">
        <is>
          <t>NPM</t>
        </is>
      </c>
      <c r="B35" t="inlineStr">
        <is>
          <t>Latest quarter NPM growth (YoY)</t>
        </is>
      </c>
      <c r="C35" t="inlineStr">
        <is>
          <t>&gt;</t>
        </is>
      </c>
      <c r="D35" t="n">
        <v>20</v>
      </c>
      <c r="E35" t="n">
        <v>20</v>
      </c>
      <c r="F35" t="inlineStr">
        <is>
          <t>Yes</t>
        </is>
      </c>
      <c r="H35">
        <f>IF(AND(F35="Yes",ISNUMBER(G35)),G35*E35,0)</f>
        <v/>
      </c>
    </row>
    <row r="36">
      <c r="A36" t="inlineStr">
        <is>
          <t>NPM</t>
        </is>
      </c>
      <c r="B36" t="inlineStr">
        <is>
          <t>Latest quarter NPM growth (QoQ)</t>
        </is>
      </c>
      <c r="C36" t="inlineStr">
        <is>
          <t>&gt;</t>
        </is>
      </c>
      <c r="D36" t="n">
        <v>20</v>
      </c>
      <c r="E36" t="n">
        <v>20</v>
      </c>
      <c r="F36" t="inlineStr">
        <is>
          <t>Yes</t>
        </is>
      </c>
      <c r="H36">
        <f>IF(AND(F36="Yes",ISNUMBER(G36)),G36*E36,0)</f>
        <v/>
      </c>
    </row>
    <row r="37">
      <c r="A37" t="inlineStr">
        <is>
          <t>NPM</t>
        </is>
      </c>
      <c r="B37" t="inlineStr">
        <is>
          <t>Latest annual NPM growth (YoY)</t>
        </is>
      </c>
      <c r="C37" t="inlineStr">
        <is>
          <t>&gt;</t>
        </is>
      </c>
      <c r="D37" t="n">
        <v>20</v>
      </c>
      <c r="E37" t="n">
        <v>20</v>
      </c>
      <c r="F37" t="inlineStr">
        <is>
          <t>Yes</t>
        </is>
      </c>
      <c r="H37">
        <f>IF(AND(F37="Yes",ISNUMBER(G37)),G37*E37,0)</f>
        <v/>
      </c>
    </row>
    <row r="38">
      <c r="A38" t="inlineStr">
        <is>
          <t>NPM</t>
        </is>
      </c>
      <c r="B38" t="inlineStr">
        <is>
          <t>NPM expansion vs 3-year average</t>
        </is>
      </c>
      <c r="C38" t="inlineStr">
        <is>
          <t>&gt;</t>
        </is>
      </c>
      <c r="D38" t="n">
        <v>0</v>
      </c>
      <c r="E38" t="n">
        <v>0</v>
      </c>
      <c r="F38" t="inlineStr">
        <is>
          <t>Yes</t>
        </is>
      </c>
      <c r="H38">
        <f>IF(AND(F38="Yes",ISNUMBER(G38)),G38*E38,0)</f>
        <v/>
      </c>
    </row>
    <row r="39">
      <c r="A39" t="inlineStr">
        <is>
          <t>NPM</t>
        </is>
      </c>
      <c r="B39" t="inlineStr">
        <is>
          <t>Industry NPM comparison</t>
        </is>
      </c>
      <c r="C39" t="inlineStr">
        <is>
          <t>industry</t>
        </is>
      </c>
      <c r="D39" t="inlineStr">
        <is>
          <t>Above median=20 points; below median=10 points</t>
        </is>
      </c>
      <c r="E39" t="n">
        <v>20</v>
      </c>
      <c r="F39" t="inlineStr">
        <is>
          <t>Yes</t>
        </is>
      </c>
      <c r="H39">
        <f>IF(AND(F39="Yes",ISNUMBER(G39)),G39*E39,0)</f>
        <v/>
      </c>
    </row>
    <row r="40">
      <c r="A40" t="inlineStr">
        <is>
          <t>NPM</t>
        </is>
      </c>
      <c r="B40" t="inlineStr">
        <is>
          <t>Latest Q NPM YoY - prior Q NPM YoY</t>
        </is>
      </c>
      <c r="C40" t="inlineStr">
        <is>
          <t>&gt;</t>
        </is>
      </c>
      <c r="D40" t="n">
        <v>20</v>
      </c>
      <c r="E40" t="n">
        <v>0</v>
      </c>
      <c r="F40" t="inlineStr">
        <is>
          <t>Yes</t>
        </is>
      </c>
      <c r="H40">
        <f>IF(AND(F40="Yes",ISNUMBER(G40)),G40*E40,0)</f>
        <v/>
      </c>
    </row>
    <row r="41">
      <c r="A41" t="inlineStr">
        <is>
          <t>CFO</t>
        </is>
      </c>
      <c r="B41" t="inlineStr">
        <is>
          <t>Operating cash flow growth (YoY)</t>
        </is>
      </c>
      <c r="C41" t="inlineStr">
        <is>
          <t>&gt;</t>
        </is>
      </c>
      <c r="D41" t="n">
        <v>0</v>
      </c>
      <c r="E41" t="n">
        <v>0</v>
      </c>
      <c r="F41" t="inlineStr">
        <is>
          <t>No</t>
        </is>
      </c>
      <c r="H41">
        <f>IF(AND(F41="Yes",ISNUMBER(G41)),G41*E41,0)</f>
        <v/>
      </c>
    </row>
    <row r="42">
      <c r="A42" t="inlineStr">
        <is>
          <t>CFO</t>
        </is>
      </c>
      <c r="B42" t="inlineStr">
        <is>
          <t>Cash flow per share</t>
        </is>
      </c>
      <c r="C42" t="inlineStr">
        <is>
          <t>&gt;</t>
        </is>
      </c>
      <c r="D42" t="n">
        <v>0</v>
      </c>
      <c r="E42" t="n">
        <v>0</v>
      </c>
      <c r="F42" t="inlineStr">
        <is>
          <t>No</t>
        </is>
      </c>
      <c r="H42">
        <f>IF(AND(F42="Yes",ISNUMBER(G42)),G42*E42,0)</f>
        <v/>
      </c>
    </row>
    <row r="43">
      <c r="A43" t="inlineStr">
        <is>
          <t>Other</t>
        </is>
      </c>
      <c r="B43" t="inlineStr">
        <is>
          <t>ROE</t>
        </is>
      </c>
      <c r="C43" t="inlineStr">
        <is>
          <t>&gt;</t>
        </is>
      </c>
      <c r="D43" t="n">
        <v>20</v>
      </c>
      <c r="E43" t="n">
        <v>0</v>
      </c>
      <c r="F43" t="inlineStr">
        <is>
          <t>Yes</t>
        </is>
      </c>
      <c r="H43">
        <f>IF(AND(F43="Yes",ISNUMBER(G43)),G43*E43,0)</f>
        <v/>
      </c>
    </row>
    <row r="44">
      <c r="A44" t="inlineStr">
        <is>
          <t>Other</t>
        </is>
      </c>
      <c r="B44" t="inlineStr">
        <is>
          <t>ROCE</t>
        </is>
      </c>
      <c r="C44" t="inlineStr">
        <is>
          <t>&gt;</t>
        </is>
      </c>
      <c r="D44" t="n">
        <v>30</v>
      </c>
      <c r="E44" t="n">
        <v>0</v>
      </c>
      <c r="F44" t="inlineStr">
        <is>
          <t>Yes</t>
        </is>
      </c>
      <c r="H44">
        <f>IF(AND(F44="Yes",ISNUMBER(G44)),G44*E44,0)</f>
        <v/>
      </c>
    </row>
    <row r="45">
      <c r="A45" t="inlineStr">
        <is>
          <t>Other</t>
        </is>
      </c>
      <c r="B45" t="inlineStr">
        <is>
          <t>Outstanding shares</t>
        </is>
      </c>
      <c r="C45" t="inlineStr">
        <is>
          <t>&lt;</t>
        </is>
      </c>
      <c r="D45" t="n">
        <v>0</v>
      </c>
      <c r="E45" t="n">
        <v>0</v>
      </c>
      <c r="F45" t="inlineStr">
        <is>
          <t>No</t>
        </is>
      </c>
      <c r="H45">
        <f>IF(AND(F45="Yes",ISNUMBER(G45)),G45*E45,0)</f>
        <v/>
      </c>
    </row>
    <row r="46">
      <c r="A46" t="inlineStr">
        <is>
          <t>Other</t>
        </is>
      </c>
      <c r="B46" t="inlineStr">
        <is>
          <t>Float shares</t>
        </is>
      </c>
      <c r="C46" t="inlineStr">
        <is>
          <t>&lt;</t>
        </is>
      </c>
      <c r="D46" t="n">
        <v>0</v>
      </c>
      <c r="E46" t="n">
        <v>0</v>
      </c>
      <c r="F46" t="inlineStr">
        <is>
          <t>No</t>
        </is>
      </c>
      <c r="H46">
        <f>IF(AND(F46="Yes",ISNUMBER(G46)),G46*E46,0)</f>
        <v/>
      </c>
    </row>
    <row r="47"/>
    <row r="48">
      <c r="A48" t="inlineStr">
        <is>
          <t>Overall Fundamental Filter Score</t>
        </is>
      </c>
      <c r="B48">
        <f>IFERROR(SUM(H2:H46)/SUMPRODUCT((F2:F46="Yes")*E2:E46),"")</f>
        <v/>
      </c>
    </row>
    <row r="49"/>
    <row r="50">
      <c r="A50" s="1" t="inlineStr">
        <is>
          <t>Group Scores</t>
        </is>
      </c>
    </row>
    <row r="51">
      <c r="A51" t="inlineStr">
        <is>
          <t>EPS</t>
        </is>
      </c>
      <c r="B51">
        <f>IFERROR(SUMIFS(H$2:H$46,A$2:A$46,A51)/SUMIFS(E$2:E$46,A$2:A$46,A51,F$2:F$46,"Yes"),"")</f>
        <v/>
      </c>
    </row>
    <row r="52">
      <c r="A52" t="inlineStr">
        <is>
          <t>PAT</t>
        </is>
      </c>
      <c r="B52">
        <f>IFERROR(SUMIFS(H$2:H$46,A$2:A$46,A52)/SUMIFS(E$2:E$46,A$2:A$46,A52,F$2:F$46,"Yes"),"")</f>
        <v/>
      </c>
    </row>
    <row r="53">
      <c r="A53" t="inlineStr">
        <is>
          <t>Sales</t>
        </is>
      </c>
      <c r="B53">
        <f>IFERROR(SUMIFS(H$2:H$46,A$2:A$46,A53)/SUMIFS(E$2:E$46,A$2:A$46,A53,F$2:F$46,"Yes"),"")</f>
        <v/>
      </c>
    </row>
    <row r="54">
      <c r="A54" t="inlineStr">
        <is>
          <t>NPM</t>
        </is>
      </c>
      <c r="B54">
        <f>IFERROR(SUMIFS(H$2:H$46,A$2:A$46,A54)/SUMIFS(E$2:E$46,A$2:A$46,A54,F$2:F$46,"Yes"),"")</f>
        <v/>
      </c>
    </row>
    <row r="55">
      <c r="A55" t="inlineStr">
        <is>
          <t>CFO</t>
        </is>
      </c>
      <c r="B55">
        <f>IFERROR(SUMIFS(H$2:H$46,A$2:A$46,A55)/SUMIFS(E$2:E$46,A$2:A$46,A55,F$2:F$46,"Yes"),"")</f>
        <v/>
      </c>
    </row>
    <row r="56">
      <c r="A56" t="inlineStr">
        <is>
          <t>Other</t>
        </is>
      </c>
      <c r="B56">
        <f>IFERROR(SUMIFS(H$2:H$46,A$2:A$46,A56)/SUMIFS(E$2:E$46,A$2:A$46,A56,F$2:F$46,"Yes"),"")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  <col width="31" customWidth="1" min="4" max="4"/>
  </cols>
  <sheetData>
    <row r="1">
      <c r="A1" s="1" t="inlineStr">
        <is>
          <t>Sector Component</t>
        </is>
      </c>
      <c r="B1" s="1" t="inlineStr">
        <is>
          <t>Score (0-100)</t>
        </is>
      </c>
      <c r="C1" s="1" t="inlineStr">
        <is>
          <t>Weight %</t>
        </is>
      </c>
      <c r="D1" s="1" t="inlineStr">
        <is>
          <t>Weighted Points</t>
        </is>
      </c>
    </row>
    <row r="2">
      <c r="A2" t="inlineStr">
        <is>
          <t>eps_growth_rs</t>
        </is>
      </c>
      <c r="C2" t="n">
        <v>30</v>
      </c>
      <c r="D2">
        <f>IF(ISNUMBER(B2),B2*C2/100,0)</f>
        <v/>
      </c>
    </row>
    <row r="3">
      <c r="A3" t="inlineStr">
        <is>
          <t>pat_growth_rs</t>
        </is>
      </c>
      <c r="C3" t="n">
        <v>25</v>
      </c>
      <c r="D3">
        <f>IF(ISNUMBER(B3),B3*C3/100,0)</f>
        <v/>
      </c>
    </row>
    <row r="4">
      <c r="A4" t="inlineStr">
        <is>
          <t>sales_growth_rs</t>
        </is>
      </c>
      <c r="C4" t="n">
        <v>20</v>
      </c>
      <c r="D4">
        <f>IF(ISNUMBER(B4),B4*C4/100,0)</f>
        <v/>
      </c>
    </row>
    <row r="5">
      <c r="A5" t="inlineStr">
        <is>
          <t>growth_acceleration_rs</t>
        </is>
      </c>
      <c r="C5" t="n">
        <v>15</v>
      </c>
      <c r="D5">
        <f>IF(ISNUMBER(B5),B5*C5/100,0)</f>
        <v/>
      </c>
    </row>
    <row r="6">
      <c r="A6" t="inlineStr">
        <is>
          <t>growth_breadth</t>
        </is>
      </c>
      <c r="C6" t="n">
        <v>5</v>
      </c>
      <c r="D6">
        <f>IF(ISNUMBER(B6),B6*C6/100,0)</f>
        <v/>
      </c>
    </row>
    <row r="7">
      <c r="A7" t="inlineStr">
        <is>
          <t>acceleration_breadth</t>
        </is>
      </c>
      <c r="C7" t="n">
        <v>5</v>
      </c>
      <c r="D7">
        <f>IF(ISNUMBER(B7),B7*C7/100,0)</f>
        <v/>
      </c>
    </row>
    <row r="8"/>
    <row r="9">
      <c r="A9" t="inlineStr">
        <is>
          <t>Sector Score</t>
        </is>
      </c>
      <c r="B9">
        <f>IFERROR(IF(COUNT(B2:B7)=0,"",SUM(D2:D7)/SUM(C2:C7)*100),"")</f>
        <v/>
      </c>
    </row>
    <row r="10"/>
    <row r="11">
      <c r="A11" t="inlineStr">
        <is>
          <t>Growth Breadth</t>
        </is>
      </c>
      <c r="B11">
        <f>(Sales breadth + PAT breadth + EPS breadth) / 3</f>
        <v/>
      </c>
    </row>
    <row r="12">
      <c r="A12" t="inlineStr">
        <is>
          <t>Acceleration Breadth</t>
        </is>
      </c>
      <c r="B12">
        <f>35% EPS + 35% PAT + 30% Sales acceleration breadth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2" customWidth="1" min="3" max="3"/>
  </cols>
  <sheetData>
    <row r="1">
      <c r="A1" s="1" t="inlineStr">
        <is>
          <t>Milestone 2 handwritten ranking notes</t>
        </is>
      </c>
    </row>
    <row r="2">
      <c r="A2" t="inlineStr">
        <is>
          <t>All market/fundamental values must come from configured providers or stored DB data; missing values stay N/A.</t>
        </is>
      </c>
    </row>
    <row r="3">
      <c r="A3" t="inlineStr">
        <is>
          <t>History coverage</t>
        </is>
      </c>
      <c r="B3" t="inlineStr">
        <is>
          <t>2026-09-18</t>
        </is>
      </c>
      <c r="C3" t="inlineStr">
        <is>
          <t>2026-10-16</t>
        </is>
      </c>
    </row>
    <row r="4">
      <c r="A4" t="inlineStr">
        <is>
          <t>History warning</t>
        </is>
      </c>
      <c r="B4" t="inlineStr">
        <is>
          <t>Free-tier mode: Excel feed is using live provider OHLCV for the selected stock; the Master Excel bridge still fetches up to 20 years directly.</t>
        </is>
      </c>
    </row>
    <row r="5">
      <c r="A5" t="inlineStr">
        <is>
          <t>Ambiguous handwritten thresholds/point allocations remain editable and must not be guessed.</t>
        </is>
      </c>
    </row>
    <row r="6">
      <c r="A6" t="inlineStr">
        <is>
          <t>For a live Excel connection, use the /market/excel-feed/{symbol}?exchange=... endpoint through Power Query.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2026-10-16T11:37:31Z</dcterms:created>
  <dcterms:modified xmlns:dcterms="http://purl.org/dc/terms/" xmlns:xsi="http://www.w3.org/2001/XMLSchema-instance" xsi:type="dcterms:W3CDTF">2026-10-16T11:37:31Z</dcterms:modified>
</cp:coreProperties>
</file>